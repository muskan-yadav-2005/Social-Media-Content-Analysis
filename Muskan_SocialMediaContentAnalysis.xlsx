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cb0530567e2151/Documents/"/>
    </mc:Choice>
  </mc:AlternateContent>
  <xr:revisionPtr revIDLastSave="0" documentId="8_{02E207B4-0F55-4799-A712-A2C519E8B5E7}" xr6:coauthVersionLast="47" xr6:coauthVersionMax="47" xr10:uidLastSave="{00000000-0000-0000-0000-000000000000}"/>
  <bookViews>
    <workbookView xWindow="-108" yWindow="-108" windowWidth="23256" windowHeight="12456" activeTab="3" xr2:uid="{29F24C01-BFC0-4DAA-A947-2DF6D1DCB5B0}"/>
  </bookViews>
  <sheets>
    <sheet name="Engagement Analysis" sheetId="2" r:id="rId1"/>
    <sheet name="CTR Analysis" sheetId="3" r:id="rId2"/>
    <sheet name="Platform Analysis" sheetId="4" r:id="rId3"/>
    <sheet name="Insights" sheetId="5" r:id="rId4"/>
    <sheet name="Data" sheetId="1" r:id="rId5"/>
  </sheet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2" i="1"/>
  <c r="J2" i="1" s="1"/>
</calcChain>
</file>

<file path=xl/sharedStrings.xml><?xml version="1.0" encoding="utf-8"?>
<sst xmlns="http://schemas.openxmlformats.org/spreadsheetml/2006/main" count="146" uniqueCount="39">
  <si>
    <t>Post_ID</t>
  </si>
  <si>
    <t>Platform</t>
  </si>
  <si>
    <t>Date</t>
  </si>
  <si>
    <t>Reach</t>
  </si>
  <si>
    <t>Likes</t>
  </si>
  <si>
    <t>Comments</t>
  </si>
  <si>
    <t>Shares</t>
  </si>
  <si>
    <t>Reel</t>
  </si>
  <si>
    <t>Instagram</t>
  </si>
  <si>
    <t>Image</t>
  </si>
  <si>
    <t>Carousel</t>
  </si>
  <si>
    <t>Facebook</t>
  </si>
  <si>
    <t>Pinterest</t>
  </si>
  <si>
    <t>Engagement Rate (%)</t>
  </si>
  <si>
    <t>CTR(Click Through Rate)</t>
  </si>
  <si>
    <t>Content_type</t>
  </si>
  <si>
    <t>Row Labels</t>
  </si>
  <si>
    <t>Grand Total</t>
  </si>
  <si>
    <t>Average of Engagement Rate (%)</t>
  </si>
  <si>
    <t>Average of CTR(Click Through Rate)</t>
  </si>
  <si>
    <t>Average of Reach</t>
  </si>
  <si>
    <t>Insights:</t>
  </si>
  <si>
    <t>1. Reels have the highest engagement rate among all content types.</t>
  </si>
  <si>
    <t>2. Carousel posts show moderate performance in both engagement and CTR.</t>
  </si>
  <si>
    <t>3. Image posts have the lowest engagement and click rates.</t>
  </si>
  <si>
    <t>4. Instagram platform has the highest average reach compared to Facebook and Pinterest.</t>
  </si>
  <si>
    <t xml:space="preserve">5. Higher reach does not always gurantee </t>
  </si>
  <si>
    <t>uarantee higher engagement.</t>
  </si>
  <si>
    <t>Suggestions:</t>
  </si>
  <si>
    <t>1. Focus more on creating Reel/video content to increase engagement.</t>
  </si>
  <si>
    <t>2. Improve captions and thumbnails to boost cl</t>
  </si>
  <si>
    <t>click-through rate.</t>
  </si>
  <si>
    <t>3. Use trending topics and hashtags for better reach.</t>
  </si>
  <si>
    <t>4. Add clear Call-To-Action (CTA) to increase clicks.</t>
  </si>
  <si>
    <t>Project Summary:</t>
  </si>
  <si>
    <t xml:space="preserve"> </t>
  </si>
  <si>
    <t>This project analyzes content performance across multiple social media platforms.</t>
  </si>
  <si>
    <t xml:space="preserve">The analysis indicates that video (Reels) content generates the highest engagement and reach, </t>
  </si>
  <si>
    <t>making it the most effective content format for audience interaction.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</si>
</sst>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[Muskan_SocialMediaContentAnalysis.xlsx]Engagement Analysis!PivotTable2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Engagement</a:t>
            </a:r>
            <a:r>
              <a:rPr lang="en-IN" b="1" baseline="0"/>
              <a:t> Rate by Content Type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'Engagement Analysis'!$A$4:$A$7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</c:strCache>
            </c:strRef>
          </c:cat>
          <c:val>
            <c:numRef>
              <c:f>'Engagement Analysis'!$B$4:$B$7</c:f>
              <c:numCache>
                <c:formatCode>General</c:formatCode>
                <c:ptCount val="3"/>
                <c:pt idx="0">
                  <c:v>8.9607106183106051</c:v>
                </c:pt>
                <c:pt idx="1">
                  <c:v>7.4889860767066452</c:v>
                </c:pt>
                <c:pt idx="2">
                  <c:v>10.013585972794253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3-4902-B067-765190BC4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5627407"/>
        <c:axId val="1685627887"/>
      </c:barChart>
      <c:catAx>
        <c:axId val="168562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627887"/>
        <c:crosses val="autoZero"/>
        <c:auto val="1"/>
        <c:lblAlgn val="ctr"/>
        <c:lblOffset val="100"/>
        <c:noMultiLvlLbl val="0"/>
      </c:catAx>
      <c:valAx>
        <c:axId val="168562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62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[Muskan_SocialMediaContentAnalysis.xlsx]CTR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CTR</a:t>
            </a:r>
            <a:r>
              <a:rPr lang="en-IN" b="1" baseline="0"/>
              <a:t> by Content Type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'CTR Analysis'!$A$4:$A$7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</c:strCache>
            </c:strRef>
          </c:cat>
          <c:val>
            <c:numRef>
              <c:f>'CTR Analysis'!$B$4:$B$7</c:f>
              <c:numCache>
                <c:formatCode>General</c:formatCode>
                <c:ptCount val="3"/>
                <c:pt idx="0">
                  <c:v>0.23014357342482678</c:v>
                </c:pt>
                <c:pt idx="1">
                  <c:v>0.25055972006885563</c:v>
                </c:pt>
                <c:pt idx="2">
                  <c:v>0.17855254383353733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6-4EBC-90EB-5C4E279CA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4651951"/>
        <c:axId val="1684652431"/>
      </c:barChart>
      <c:catAx>
        <c:axId val="168465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652431"/>
        <c:crosses val="autoZero"/>
        <c:auto val="1"/>
        <c:lblAlgn val="ctr"/>
        <c:lblOffset val="100"/>
        <c:noMultiLvlLbl val="0"/>
      </c:catAx>
      <c:valAx>
        <c:axId val="168465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65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[Muskan_SocialMediaContentAnalysis.xlsx]Platform 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Reach by Platforms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'Platform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'Platform Analysis'!$A$4:$A$7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Pinterest</c:v>
                </c:pt>
              </c:strCache>
            </c:strRef>
          </c:cat>
          <c:val>
            <c:numRef>
              <c:f>'Platform Analysis'!$B$4:$B$7</c:f>
              <c:numCache>
                <c:formatCode>General</c:formatCode>
                <c:ptCount val="3"/>
                <c:pt idx="0">
                  <c:v>3826.6666666666665</c:v>
                </c:pt>
                <c:pt idx="1">
                  <c:v>4533.333333333333</c:v>
                </c:pt>
                <c:pt idx="2">
                  <c:v>4135.2941176470586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8-4ADE-8FAE-25E4A8304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4100399"/>
        <c:axId val="1684098959"/>
      </c:barChart>
      <c:catAx>
        <c:axId val="168410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098959"/>
        <c:crosses val="autoZero"/>
        <c:auto val="1"/>
        <c:lblAlgn val="ctr"/>
        <c:lblOffset val="100"/>
        <c:noMultiLvlLbl val="0"/>
      </c:catAx>
      <c:valAx>
        <c:axId val="168409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10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2</xdr:row>
      <xdr:rowOff>60960</xdr:rowOff>
    </xdr:from>
    <xdr:to>
      <xdr:col>13</xdr:col>
      <xdr:colOff>106680</xdr:colOff>
      <xdr:row>24</xdr:row>
      <xdr:rowOff>175260</xdr:rowOff>
    </xdr:to>
    <xdr:graphicFrame macro="">
      <xdr:nvGraphicFramePr>
        <xdr:cNvPr id="2" name="Engagement Rate by Content type">
          <a:extLst>
            <a:ext uri="{FF2B5EF4-FFF2-40B4-BE49-F238E27FC236}">
              <a16:creationId xmlns:a16="http://schemas.microsoft.com/office/drawing/2014/main" id="{955BFE8C-7A8E-19C4-7190-CCDA4EE50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1</xdr:row>
      <xdr:rowOff>99060</xdr:rowOff>
    </xdr:from>
    <xdr:to>
      <xdr:col>13</xdr:col>
      <xdr:colOff>15240</xdr:colOff>
      <xdr:row>25</xdr:row>
      <xdr:rowOff>83820</xdr:rowOff>
    </xdr:to>
    <xdr:graphicFrame macro="">
      <xdr:nvGraphicFramePr>
        <xdr:cNvPr id="2" name="CTR by Content Type ">
          <a:extLst>
            <a:ext uri="{FF2B5EF4-FFF2-40B4-BE49-F238E27FC236}">
              <a16:creationId xmlns:a16="http://schemas.microsoft.com/office/drawing/2014/main" id="{B68B7C62-D3DF-5058-5098-D66D1F693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1</xdr:row>
      <xdr:rowOff>53340</xdr:rowOff>
    </xdr:from>
    <xdr:to>
      <xdr:col>15</xdr:col>
      <xdr:colOff>83820</xdr:colOff>
      <xdr:row>25</xdr:row>
      <xdr:rowOff>60960</xdr:rowOff>
    </xdr:to>
    <xdr:graphicFrame macro="">
      <xdr:nvGraphicFramePr>
        <xdr:cNvPr id="3" name="Average Reach by Platform">
          <a:extLst>
            <a:ext uri="{FF2B5EF4-FFF2-40B4-BE49-F238E27FC236}">
              <a16:creationId xmlns:a16="http://schemas.microsoft.com/office/drawing/2014/main" id="{13D4098B-3FD5-204B-DDFD-9E40D5D3E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kan" refreshedDate="46125.873287268521" createdVersion="8" refreshedVersion="8" minRefreshableVersion="3" recordCount="50" xr:uid="{E3A343DC-C2BE-4B75-AA10-B453397EB423}">
  <cacheSource type="worksheet">
    <worksheetSource name="Table1"/>
  </cacheSource>
  <cacheFields count="10">
    <cacheField name="Post_ID" numFmtId="0">
      <sharedItems containsSemiMixedTypes="0" containsString="0" containsNumber="1" containsInteger="1" minValue="1" maxValue="50"/>
    </cacheField>
    <cacheField name="Content_type" numFmtId="0">
      <sharedItems count="3">
        <s v="Reel"/>
        <s v="Image"/>
        <s v="Carousel"/>
      </sharedItems>
    </cacheField>
    <cacheField name="Platform" numFmtId="0">
      <sharedItems count="3">
        <s v="Instagram"/>
        <s v="Facebook"/>
        <s v="Pinterest"/>
      </sharedItems>
    </cacheField>
    <cacheField name="Date" numFmtId="14">
      <sharedItems containsSemiMixedTypes="0" containsNonDate="0" containsDate="1" containsString="0" minDate="2026-04-01T00:00:00" maxDate="2026-04-26T00:00:00"/>
    </cacheField>
    <cacheField name="Reach" numFmtId="0">
      <sharedItems containsSemiMixedTypes="0" containsString="0" containsNumber="1" containsInteger="1" minValue="2500" maxValue="6400"/>
    </cacheField>
    <cacheField name="Likes" numFmtId="0">
      <sharedItems containsSemiMixedTypes="0" containsString="0" containsNumber="1" containsInteger="1" minValue="150" maxValue="550"/>
    </cacheField>
    <cacheField name="Comments" numFmtId="0">
      <sharedItems containsSemiMixedTypes="0" containsString="0" containsNumber="1" containsInteger="1" minValue="16" maxValue="90"/>
    </cacheField>
    <cacheField name="Shares" numFmtId="0">
      <sharedItems containsSemiMixedTypes="0" containsString="0" containsNumber="1" containsInteger="1" minValue="9" maxValue="55"/>
    </cacheField>
    <cacheField name="Engagement Rate (%)" numFmtId="0">
      <sharedItems containsSemiMixedTypes="0" containsString="0" containsNumber="1" minValue="7.0000000000000009" maxValue="10.859375"/>
    </cacheField>
    <cacheField name="CTR(Click Through Rate)" numFmtId="0">
      <sharedItems containsSemiMixedTypes="0" containsString="0" containsNumber="1" minValue="0.169677734375" maxValue="0.280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x v="0"/>
    <x v="0"/>
    <d v="2026-04-01T00:00:00"/>
    <n v="5200"/>
    <n v="420"/>
    <n v="55"/>
    <n v="35"/>
    <n v="9.8076923076923084"/>
    <n v="0.18860946745562132"/>
  </r>
  <r>
    <n v="2"/>
    <x v="1"/>
    <x v="0"/>
    <d v="2026-04-01T00:00:00"/>
    <n v="3100"/>
    <n v="210"/>
    <n v="25"/>
    <n v="15"/>
    <n v="8.064516129032258"/>
    <n v="0.26014568158168577"/>
  </r>
  <r>
    <n v="3"/>
    <x v="2"/>
    <x v="0"/>
    <d v="2026-04-02T00:00:00"/>
    <n v="4000"/>
    <n v="300"/>
    <n v="40"/>
    <n v="20"/>
    <n v="9"/>
    <n v="0.22499999999999998"/>
  </r>
  <r>
    <n v="4"/>
    <x v="0"/>
    <x v="1"/>
    <d v="2026-04-02T00:00:00"/>
    <n v="4800"/>
    <n v="350"/>
    <n v="45"/>
    <n v="25"/>
    <n v="8.75"/>
    <n v="0.18229166666666666"/>
  </r>
  <r>
    <n v="5"/>
    <x v="1"/>
    <x v="1"/>
    <d v="2026-04-03T00:00:00"/>
    <n v="2900"/>
    <n v="180"/>
    <n v="20"/>
    <n v="10"/>
    <n v="7.2413793103448283"/>
    <n v="0.24970273483947686"/>
  </r>
  <r>
    <n v="6"/>
    <x v="2"/>
    <x v="2"/>
    <d v="2026-04-03T00:00:00"/>
    <n v="3600"/>
    <n v="250"/>
    <n v="30"/>
    <n v="18"/>
    <n v="8.2777777777777786"/>
    <n v="0.22993827160493829"/>
  </r>
  <r>
    <n v="7"/>
    <x v="0"/>
    <x v="2"/>
    <d v="2026-04-04T00:00:00"/>
    <n v="5500"/>
    <n v="460"/>
    <n v="60"/>
    <n v="40"/>
    <n v="10.181818181818182"/>
    <n v="0.18512396694214875"/>
  </r>
  <r>
    <n v="8"/>
    <x v="1"/>
    <x v="2"/>
    <d v="2026-04-04T00:00:00"/>
    <n v="2700"/>
    <n v="170"/>
    <n v="18"/>
    <n v="12"/>
    <n v="7.4074074074074066"/>
    <n v="0.2743484224965706"/>
  </r>
  <r>
    <n v="9"/>
    <x v="2"/>
    <x v="0"/>
    <d v="2026-04-05T00:00:00"/>
    <n v="4100"/>
    <n v="310"/>
    <n v="42"/>
    <n v="22"/>
    <n v="9.1219512195121943"/>
    <n v="0.22248661511005352"/>
  </r>
  <r>
    <n v="10"/>
    <x v="0"/>
    <x v="0"/>
    <d v="2026-04-05T00:00:00"/>
    <n v="6000"/>
    <n v="500"/>
    <n v="70"/>
    <n v="45"/>
    <n v="10.25"/>
    <n v="0.17083333333333334"/>
  </r>
  <r>
    <n v="11"/>
    <x v="1"/>
    <x v="1"/>
    <d v="2026-04-06T00:00:00"/>
    <n v="3200"/>
    <n v="200"/>
    <n v="22"/>
    <n v="14"/>
    <n v="7.375"/>
    <n v="0.23046875"/>
  </r>
  <r>
    <n v="12"/>
    <x v="2"/>
    <x v="1"/>
    <d v="2026-04-06T00:00:00"/>
    <n v="3500"/>
    <n v="260"/>
    <n v="35"/>
    <n v="20"/>
    <n v="9"/>
    <n v="0.25714285714285712"/>
  </r>
  <r>
    <n v="13"/>
    <x v="0"/>
    <x v="2"/>
    <d v="2026-04-07T00:00:00"/>
    <n v="5800"/>
    <n v="480"/>
    <n v="65"/>
    <n v="42"/>
    <n v="10.120689655172415"/>
    <n v="0.17449464922711058"/>
  </r>
  <r>
    <n v="14"/>
    <x v="1"/>
    <x v="0"/>
    <d v="2026-04-07T00:00:00"/>
    <n v="3000"/>
    <n v="190"/>
    <n v="24"/>
    <n v="13"/>
    <n v="7.5666666666666664"/>
    <n v="0.25222222222222224"/>
  </r>
  <r>
    <n v="15"/>
    <x v="2"/>
    <x v="2"/>
    <d v="2026-04-08T00:00:00"/>
    <n v="3900"/>
    <n v="280"/>
    <n v="38"/>
    <n v="21"/>
    <n v="8.6923076923076916"/>
    <n v="0.22287968441814596"/>
  </r>
  <r>
    <n v="16"/>
    <x v="0"/>
    <x v="1"/>
    <d v="2026-04-08T00:00:00"/>
    <n v="5000"/>
    <n v="370"/>
    <n v="50"/>
    <n v="28"/>
    <n v="8.9599999999999991"/>
    <n v="0.17919999999999997"/>
  </r>
  <r>
    <n v="17"/>
    <x v="1"/>
    <x v="2"/>
    <d v="2026-04-09T00:00:00"/>
    <n v="2600"/>
    <n v="160"/>
    <n v="17"/>
    <n v="10"/>
    <n v="7.1923076923076925"/>
    <n v="0.27662721893491127"/>
  </r>
  <r>
    <n v="18"/>
    <x v="2"/>
    <x v="0"/>
    <d v="2026-04-09T00:00:00"/>
    <n v="4200"/>
    <n v="320"/>
    <n v="45"/>
    <n v="23"/>
    <n v="9.238095238095239"/>
    <n v="0.21995464852607713"/>
  </r>
  <r>
    <n v="19"/>
    <x v="0"/>
    <x v="0"/>
    <d v="2026-04-10T00:00:00"/>
    <n v="6100"/>
    <n v="520"/>
    <n v="75"/>
    <n v="48"/>
    <n v="10.540983606557377"/>
    <n v="0.17280300994356357"/>
  </r>
  <r>
    <n v="20"/>
    <x v="1"/>
    <x v="1"/>
    <d v="2026-04-10T00:00:00"/>
    <n v="2800"/>
    <n v="175"/>
    <n v="19"/>
    <n v="11"/>
    <n v="7.3214285714285721"/>
    <n v="0.26147959183673469"/>
  </r>
  <r>
    <n v="21"/>
    <x v="2"/>
    <x v="2"/>
    <d v="2026-04-11T00:00:00"/>
    <n v="3700"/>
    <n v="265"/>
    <n v="33"/>
    <n v="19"/>
    <n v="8.5675675675675667"/>
    <n v="0.23155588020452883"/>
  </r>
  <r>
    <n v="22"/>
    <x v="0"/>
    <x v="2"/>
    <d v="2026-04-11T00:00:00"/>
    <n v="5600"/>
    <n v="470"/>
    <n v="68"/>
    <n v="43"/>
    <n v="10.375"/>
    <n v="0.18526785714285715"/>
  </r>
  <r>
    <n v="23"/>
    <x v="1"/>
    <x v="0"/>
    <d v="2026-04-12T00:00:00"/>
    <n v="3300"/>
    <n v="215"/>
    <n v="28"/>
    <n v="16"/>
    <n v="7.8484848484848495"/>
    <n v="0.23783287419651059"/>
  </r>
  <r>
    <n v="24"/>
    <x v="2"/>
    <x v="1"/>
    <d v="2026-04-12T00:00:00"/>
    <n v="3400"/>
    <n v="255"/>
    <n v="32"/>
    <n v="18"/>
    <n v="8.9705882352941178"/>
    <n v="0.26384083044982698"/>
  </r>
  <r>
    <n v="25"/>
    <x v="0"/>
    <x v="1"/>
    <d v="2026-04-13T00:00:00"/>
    <n v="4900"/>
    <n v="360"/>
    <n v="48"/>
    <n v="26"/>
    <n v="8.8571428571428559"/>
    <n v="0.18075801749271134"/>
  </r>
  <r>
    <n v="26"/>
    <x v="1"/>
    <x v="2"/>
    <d v="2026-04-13T00:00:00"/>
    <n v="2500"/>
    <n v="150"/>
    <n v="16"/>
    <n v="9"/>
    <n v="7.0000000000000009"/>
    <n v="0.28000000000000003"/>
  </r>
  <r>
    <n v="27"/>
    <x v="2"/>
    <x v="0"/>
    <d v="2026-04-14T00:00:00"/>
    <n v="4300"/>
    <n v="330"/>
    <n v="46"/>
    <n v="24"/>
    <n v="9.3023255813953494"/>
    <n v="0.2163331530557058"/>
  </r>
  <r>
    <n v="28"/>
    <x v="0"/>
    <x v="0"/>
    <d v="2026-04-14T00:00:00"/>
    <n v="6200"/>
    <n v="530"/>
    <n v="80"/>
    <n v="50"/>
    <n v="10.64516129032258"/>
    <n v="0.17169614984391257"/>
  </r>
  <r>
    <n v="29"/>
    <x v="1"/>
    <x v="1"/>
    <d v="2026-04-15T00:00:00"/>
    <n v="3100"/>
    <n v="195"/>
    <n v="23"/>
    <n v="14"/>
    <n v="7.4838709677419359"/>
    <n v="0.24141519250780438"/>
  </r>
  <r>
    <n v="30"/>
    <x v="2"/>
    <x v="2"/>
    <d v="2026-04-15T00:00:00"/>
    <n v="3800"/>
    <n v="275"/>
    <n v="36"/>
    <n v="20"/>
    <n v="8.7105263157894743"/>
    <n v="0.22922437673130197"/>
  </r>
  <r>
    <n v="31"/>
    <x v="0"/>
    <x v="2"/>
    <d v="2026-04-16T00:00:00"/>
    <n v="5700"/>
    <n v="490"/>
    <n v="70"/>
    <n v="44"/>
    <n v="10.596491228070175"/>
    <n v="0.1859033548784241"/>
  </r>
  <r>
    <n v="32"/>
    <x v="1"/>
    <x v="0"/>
    <d v="2026-04-16T00:00:00"/>
    <n v="3400"/>
    <n v="220"/>
    <n v="27"/>
    <n v="17"/>
    <n v="7.764705882352942"/>
    <n v="0.22837370242214536"/>
  </r>
  <r>
    <n v="33"/>
    <x v="2"/>
    <x v="1"/>
    <d v="2026-04-17T00:00:00"/>
    <n v="3600"/>
    <n v="270"/>
    <n v="34"/>
    <n v="21"/>
    <n v="9.0277777777777768"/>
    <n v="0.25077160493827161"/>
  </r>
  <r>
    <n v="34"/>
    <x v="0"/>
    <x v="1"/>
    <d v="2026-04-17T00:00:00"/>
    <n v="5100"/>
    <n v="380"/>
    <n v="52"/>
    <n v="29"/>
    <n v="9.0392156862745097"/>
    <n v="0.1772395232602845"/>
  </r>
  <r>
    <n v="35"/>
    <x v="1"/>
    <x v="2"/>
    <d v="2026-04-18T00:00:00"/>
    <n v="2600"/>
    <n v="155"/>
    <n v="18"/>
    <n v="11"/>
    <n v="7.0769230769230766"/>
    <n v="0.27218934911242604"/>
  </r>
  <r>
    <n v="36"/>
    <x v="2"/>
    <x v="0"/>
    <d v="2026-04-18T00:00:00"/>
    <n v="4400"/>
    <n v="340"/>
    <n v="47"/>
    <n v="25"/>
    <n v="9.3636363636363651"/>
    <n v="0.21280991735537191"/>
  </r>
  <r>
    <n v="37"/>
    <x v="0"/>
    <x v="0"/>
    <d v="2026-04-19T00:00:00"/>
    <n v="6300"/>
    <n v="540"/>
    <n v="85"/>
    <n v="52"/>
    <n v="10.746031746031747"/>
    <n v="0.17057193247669439"/>
  </r>
  <r>
    <n v="38"/>
    <x v="1"/>
    <x v="1"/>
    <d v="2026-04-19T00:00:00"/>
    <n v="3000"/>
    <n v="185"/>
    <n v="21"/>
    <n v="13"/>
    <n v="7.3"/>
    <n v="0.24333333333333335"/>
  </r>
  <r>
    <n v="39"/>
    <x v="2"/>
    <x v="2"/>
    <d v="2026-04-20T00:00:00"/>
    <n v="3900"/>
    <n v="285"/>
    <n v="37"/>
    <n v="22"/>
    <n v="8.8205128205128194"/>
    <n v="0.22616699539776461"/>
  </r>
  <r>
    <n v="40"/>
    <x v="0"/>
    <x v="2"/>
    <d v="2026-04-20T00:00:00"/>
    <n v="5800"/>
    <n v="500"/>
    <n v="72"/>
    <n v="45"/>
    <n v="10.637931034482758"/>
    <n v="0.18341260404280615"/>
  </r>
  <r>
    <n v="41"/>
    <x v="1"/>
    <x v="0"/>
    <d v="2026-04-21T00:00:00"/>
    <n v="3500"/>
    <n v="230"/>
    <n v="29"/>
    <n v="18"/>
    <n v="7.9142857142857137"/>
    <n v="0.22612244897959183"/>
  </r>
  <r>
    <n v="42"/>
    <x v="2"/>
    <x v="1"/>
    <d v="2026-04-21T00:00:00"/>
    <n v="3700"/>
    <n v="280"/>
    <n v="36"/>
    <n v="20"/>
    <n v="9.0810810810810807"/>
    <n v="0.24543462381300218"/>
  </r>
  <r>
    <n v="43"/>
    <x v="0"/>
    <x v="1"/>
    <d v="2026-04-22T00:00:00"/>
    <n v="5200"/>
    <n v="390"/>
    <n v="55"/>
    <n v="30"/>
    <n v="9.1346153846153832"/>
    <n v="0.17566568047337275"/>
  </r>
  <r>
    <n v="44"/>
    <x v="1"/>
    <x v="2"/>
    <d v="2026-04-22T00:00:00"/>
    <n v="2700"/>
    <n v="165"/>
    <n v="19"/>
    <n v="12"/>
    <n v="7.2592592592592595"/>
    <n v="0.26886145404663925"/>
  </r>
  <r>
    <n v="45"/>
    <x v="2"/>
    <x v="0"/>
    <d v="2026-04-23T00:00:00"/>
    <n v="4500"/>
    <n v="350"/>
    <n v="48"/>
    <n v="26"/>
    <n v="9.4222222222222225"/>
    <n v="0.20938271604938274"/>
  </r>
  <r>
    <n v="46"/>
    <x v="0"/>
    <x v="0"/>
    <d v="2026-04-23T00:00:00"/>
    <n v="6400"/>
    <n v="550"/>
    <n v="90"/>
    <n v="55"/>
    <n v="10.859375"/>
    <n v="0.169677734375"/>
  </r>
  <r>
    <n v="47"/>
    <x v="1"/>
    <x v="1"/>
    <d v="2026-04-24T00:00:00"/>
    <n v="3200"/>
    <n v="200"/>
    <n v="24"/>
    <n v="15"/>
    <n v="7.46875"/>
    <n v="0.2333984375"/>
  </r>
  <r>
    <n v="48"/>
    <x v="2"/>
    <x v="2"/>
    <d v="2026-04-24T00:00:00"/>
    <n v="4000"/>
    <n v="290"/>
    <n v="38"/>
    <n v="23"/>
    <n v="8.7749999999999986"/>
    <n v="0.21937499999999996"/>
  </r>
  <r>
    <n v="49"/>
    <x v="0"/>
    <x v="2"/>
    <d v="2026-04-25T00:00:00"/>
    <n v="5900"/>
    <n v="510"/>
    <n v="75"/>
    <n v="48"/>
    <n v="10.728813559322035"/>
    <n v="0.1818442976156277"/>
  </r>
  <r>
    <n v="50"/>
    <x v="1"/>
    <x v="0"/>
    <d v="2026-04-25T00:00:00"/>
    <n v="3600"/>
    <n v="240"/>
    <n v="30"/>
    <n v="19"/>
    <n v="8.0277777777777786"/>
    <n v="0.222993827160493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B60C5-249A-4D3A-8F7A-C078283F10B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10"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ngagement Rate (%)" fld="8" subtotal="average" baseField="1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EA078-A885-41F4-92E6-72882D24D0B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0"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TR(Click Through Rate)" fld="9" subtotal="average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E43FF-9F2F-4DEE-BA52-70778C29EF70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0"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ach" fld="4" subtotal="average" baseField="2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6C29E-D075-4249-B9D7-34ED62395CDE}" name="Table1" displayName="Table1" ref="A1:J51" totalsRowShown="0">
  <autoFilter ref="A1:J51" xr:uid="{1B66C29E-D075-4249-B9D7-34ED62395C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DA08E82-9E94-48C7-951D-B7719539066D}" name="Post_ID" dataDxfId="0">
      <calculatedColumnFormula array="1">_xlfn.SEQUENCE(50)</calculatedColumnFormula>
    </tableColumn>
    <tableColumn id="2" xr3:uid="{2D4404E3-59AA-4483-8E4C-427E4CE78EF5}" name="Content_type"/>
    <tableColumn id="3" xr3:uid="{14FED424-B59D-4283-8D4A-D7E4E68C0EA6}" name="Platform"/>
    <tableColumn id="4" xr3:uid="{97E07DDD-602C-4CD3-A84F-0E9E33247F62}" name="Date" dataDxfId="1"/>
    <tableColumn id="5" xr3:uid="{E68A066B-A296-458C-B7EB-113A458BC5E9}" name="Reach"/>
    <tableColumn id="6" xr3:uid="{AC34C4A5-0201-4263-BB76-758FF6D1F390}" name="Likes"/>
    <tableColumn id="7" xr3:uid="{616A1E99-2E96-48EA-BECD-DB39CA5B7846}" name="Comments"/>
    <tableColumn id="8" xr3:uid="{563DA88F-4AFB-46AF-8128-786901415A02}" name="Shares"/>
    <tableColumn id="10" xr3:uid="{A0B4E9C3-AEFC-44B0-9417-6151873A60B5}" name="Engagement Rate (%)">
      <calculatedColumnFormula>(F2+G2+H2)/E2*100</calculatedColumnFormula>
    </tableColumn>
    <tableColumn id="11" xr3:uid="{F005CE8F-A01F-4BDB-8D1B-37E57DE04524}" name="CTR(Click Through Rate)">
      <calculatedColumnFormula>I2/E2*100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EE6E-D34F-412B-A5DF-FDB90A48172D}">
  <dimension ref="A3:B7"/>
  <sheetViews>
    <sheetView workbookViewId="0">
      <selection activeCell="O9" sqref="O9"/>
    </sheetView>
  </sheetViews>
  <sheetFormatPr defaultRowHeight="14.4" x14ac:dyDescent="0.3"/>
  <cols>
    <col min="1" max="1" width="12.44140625" bestFit="1" customWidth="1"/>
    <col min="2" max="2" width="27.6640625" bestFit="1" customWidth="1"/>
  </cols>
  <sheetData>
    <row r="3" spans="1:2" x14ac:dyDescent="0.3">
      <c r="A3" s="2" t="s">
        <v>16</v>
      </c>
      <c r="B3" t="s">
        <v>18</v>
      </c>
    </row>
    <row r="4" spans="1:2" x14ac:dyDescent="0.3">
      <c r="A4" s="3" t="s">
        <v>10</v>
      </c>
      <c r="B4" s="4">
        <v>8.9607106183106051</v>
      </c>
    </row>
    <row r="5" spans="1:2" x14ac:dyDescent="0.3">
      <c r="A5" s="3" t="s">
        <v>9</v>
      </c>
      <c r="B5" s="4">
        <v>7.4889860767066452</v>
      </c>
    </row>
    <row r="6" spans="1:2" x14ac:dyDescent="0.3">
      <c r="A6" s="3" t="s">
        <v>7</v>
      </c>
      <c r="B6" s="4">
        <v>10.013585972794253</v>
      </c>
    </row>
    <row r="7" spans="1:2" x14ac:dyDescent="0.3">
      <c r="A7" s="3" t="s">
        <v>17</v>
      </c>
      <c r="B7" s="4">
        <v>8.8183018946897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2F16-3E40-476B-B67E-37D15CAB081E}">
  <dimension ref="A3:B7"/>
  <sheetViews>
    <sheetView workbookViewId="0">
      <selection activeCell="D10" sqref="D10"/>
    </sheetView>
  </sheetViews>
  <sheetFormatPr defaultRowHeight="14.4" x14ac:dyDescent="0.3"/>
  <cols>
    <col min="1" max="1" width="12.44140625" bestFit="1" customWidth="1"/>
    <col min="2" max="2" width="30.109375" bestFit="1" customWidth="1"/>
  </cols>
  <sheetData>
    <row r="3" spans="1:2" x14ac:dyDescent="0.3">
      <c r="A3" s="2" t="s">
        <v>16</v>
      </c>
      <c r="B3" t="s">
        <v>19</v>
      </c>
    </row>
    <row r="4" spans="1:2" x14ac:dyDescent="0.3">
      <c r="A4" s="3" t="s">
        <v>10</v>
      </c>
      <c r="B4" s="4">
        <v>0.23014357342482678</v>
      </c>
    </row>
    <row r="5" spans="1:2" x14ac:dyDescent="0.3">
      <c r="A5" s="3" t="s">
        <v>9</v>
      </c>
      <c r="B5" s="4">
        <v>0.25055972006885563</v>
      </c>
    </row>
    <row r="6" spans="1:2" x14ac:dyDescent="0.3">
      <c r="A6" s="3" t="s">
        <v>7</v>
      </c>
      <c r="B6" s="4">
        <v>0.17855254383353733</v>
      </c>
    </row>
    <row r="7" spans="1:2" x14ac:dyDescent="0.3">
      <c r="A7" s="3" t="s">
        <v>17</v>
      </c>
      <c r="B7" s="4">
        <v>0.21954411322275816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D2CF-6384-422C-8A8C-9B7B128D6097}">
  <dimension ref="A3:B7"/>
  <sheetViews>
    <sheetView workbookViewId="0">
      <selection activeCell="E7" sqref="E7"/>
    </sheetView>
  </sheetViews>
  <sheetFormatPr defaultRowHeight="14.4" x14ac:dyDescent="0.3"/>
  <cols>
    <col min="1" max="1" width="12.44140625" bestFit="1" customWidth="1"/>
    <col min="2" max="2" width="15" bestFit="1" customWidth="1"/>
  </cols>
  <sheetData>
    <row r="3" spans="1:2" x14ac:dyDescent="0.3">
      <c r="A3" s="2" t="s">
        <v>16</v>
      </c>
      <c r="B3" t="s">
        <v>20</v>
      </c>
    </row>
    <row r="4" spans="1:2" x14ac:dyDescent="0.3">
      <c r="A4" s="3" t="s">
        <v>11</v>
      </c>
      <c r="B4" s="4">
        <v>3826.6666666666665</v>
      </c>
    </row>
    <row r="5" spans="1:2" x14ac:dyDescent="0.3">
      <c r="A5" s="3" t="s">
        <v>8</v>
      </c>
      <c r="B5" s="4">
        <v>4533.333333333333</v>
      </c>
    </row>
    <row r="6" spans="1:2" x14ac:dyDescent="0.3">
      <c r="A6" s="3" t="s">
        <v>12</v>
      </c>
      <c r="B6" s="4">
        <v>4135.2941176470586</v>
      </c>
    </row>
    <row r="7" spans="1:2" x14ac:dyDescent="0.3">
      <c r="A7" s="3" t="s">
        <v>17</v>
      </c>
      <c r="B7" s="4">
        <v>4186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3456-3A46-4C8F-9112-08586CB34CF9}">
  <dimension ref="B2:F22"/>
  <sheetViews>
    <sheetView tabSelected="1" workbookViewId="0">
      <selection activeCell="J16" sqref="J16"/>
    </sheetView>
  </sheetViews>
  <sheetFormatPr defaultRowHeight="14.4" x14ac:dyDescent="0.3"/>
  <sheetData>
    <row r="2" spans="2:5" ht="18" x14ac:dyDescent="0.35">
      <c r="B2" s="6" t="s">
        <v>34</v>
      </c>
    </row>
    <row r="4" spans="2:5" x14ac:dyDescent="0.3">
      <c r="B4" t="s">
        <v>36</v>
      </c>
    </row>
    <row r="5" spans="2:5" x14ac:dyDescent="0.3">
      <c r="B5" t="s">
        <v>37</v>
      </c>
    </row>
    <row r="6" spans="2:5" x14ac:dyDescent="0.3">
      <c r="B6" t="s">
        <v>38</v>
      </c>
    </row>
    <row r="10" spans="2:5" x14ac:dyDescent="0.3">
      <c r="B10" s="5" t="s">
        <v>21</v>
      </c>
    </row>
    <row r="11" spans="2:5" x14ac:dyDescent="0.3">
      <c r="B11" t="s">
        <v>22</v>
      </c>
    </row>
    <row r="12" spans="2:5" x14ac:dyDescent="0.3">
      <c r="B12" t="s">
        <v>23</v>
      </c>
    </row>
    <row r="13" spans="2:5" x14ac:dyDescent="0.3">
      <c r="B13" t="s">
        <v>24</v>
      </c>
    </row>
    <row r="14" spans="2:5" x14ac:dyDescent="0.3">
      <c r="B14" t="s">
        <v>25</v>
      </c>
    </row>
    <row r="15" spans="2:5" x14ac:dyDescent="0.3">
      <c r="B15" t="s">
        <v>26</v>
      </c>
      <c r="E15" t="s">
        <v>27</v>
      </c>
    </row>
    <row r="18" spans="2:6" x14ac:dyDescent="0.3">
      <c r="B18" s="5" t="s">
        <v>28</v>
      </c>
    </row>
    <row r="19" spans="2:6" x14ac:dyDescent="0.3">
      <c r="B19" t="s">
        <v>29</v>
      </c>
    </row>
    <row r="20" spans="2:6" x14ac:dyDescent="0.3">
      <c r="B20" t="s">
        <v>30</v>
      </c>
      <c r="F20" t="s">
        <v>31</v>
      </c>
    </row>
    <row r="21" spans="2:6" x14ac:dyDescent="0.3">
      <c r="B21" t="s">
        <v>32</v>
      </c>
    </row>
    <row r="22" spans="2:6" x14ac:dyDescent="0.3">
      <c r="B22" t="s">
        <v>33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9FA-6D29-428B-97DF-C888CD2B0BFD}">
  <dimension ref="A1:J51"/>
  <sheetViews>
    <sheetView workbookViewId="0">
      <selection activeCell="J14" sqref="J14"/>
    </sheetView>
  </sheetViews>
  <sheetFormatPr defaultRowHeight="14.4" x14ac:dyDescent="0.3"/>
  <cols>
    <col min="1" max="1" width="9.109375" customWidth="1"/>
    <col min="2" max="2" width="15.33203125" customWidth="1"/>
    <col min="3" max="3" width="10.109375" customWidth="1"/>
    <col min="4" max="4" width="10.33203125" bestFit="1" customWidth="1"/>
    <col min="7" max="7" width="12" customWidth="1"/>
    <col min="10" max="10" width="20.33203125" customWidth="1"/>
  </cols>
  <sheetData>
    <row r="1" spans="1:10" x14ac:dyDescent="0.3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13</v>
      </c>
      <c r="J1" t="s">
        <v>14</v>
      </c>
    </row>
    <row r="2" spans="1:10" x14ac:dyDescent="0.3">
      <c r="A2">
        <v>1</v>
      </c>
      <c r="B2" t="s">
        <v>7</v>
      </c>
      <c r="C2" t="s">
        <v>8</v>
      </c>
      <c r="D2" s="1">
        <v>46113</v>
      </c>
      <c r="E2">
        <v>5200</v>
      </c>
      <c r="F2">
        <v>420</v>
      </c>
      <c r="G2">
        <v>55</v>
      </c>
      <c r="H2">
        <v>35</v>
      </c>
      <c r="I2">
        <f>(F2+G2+H2)/E2*100</f>
        <v>9.8076923076923084</v>
      </c>
      <c r="J2">
        <f>I2/E2*100</f>
        <v>0.18860946745562132</v>
      </c>
    </row>
    <row r="3" spans="1:10" x14ac:dyDescent="0.3">
      <c r="A3">
        <v>2</v>
      </c>
      <c r="B3" t="s">
        <v>9</v>
      </c>
      <c r="C3" t="s">
        <v>8</v>
      </c>
      <c r="D3" s="1">
        <v>46113</v>
      </c>
      <c r="E3">
        <v>3100</v>
      </c>
      <c r="F3">
        <v>210</v>
      </c>
      <c r="G3">
        <v>25</v>
      </c>
      <c r="H3">
        <v>15</v>
      </c>
      <c r="I3">
        <f>(F3+G3+H3)/E3*100</f>
        <v>8.064516129032258</v>
      </c>
      <c r="J3">
        <f t="shared" ref="J3:J51" si="0">I3/E3*100</f>
        <v>0.26014568158168577</v>
      </c>
    </row>
    <row r="4" spans="1:10" x14ac:dyDescent="0.3">
      <c r="A4">
        <v>3</v>
      </c>
      <c r="B4" t="s">
        <v>10</v>
      </c>
      <c r="C4" t="s">
        <v>8</v>
      </c>
      <c r="D4" s="1">
        <v>46114</v>
      </c>
      <c r="E4">
        <v>4000</v>
      </c>
      <c r="F4">
        <v>300</v>
      </c>
      <c r="G4">
        <v>40</v>
      </c>
      <c r="H4">
        <v>20</v>
      </c>
      <c r="I4">
        <f>(F4+G4+H4)/E4*100</f>
        <v>9</v>
      </c>
      <c r="J4">
        <f t="shared" si="0"/>
        <v>0.22499999999999998</v>
      </c>
    </row>
    <row r="5" spans="1:10" x14ac:dyDescent="0.3">
      <c r="A5">
        <v>4</v>
      </c>
      <c r="B5" t="s">
        <v>7</v>
      </c>
      <c r="C5" t="s">
        <v>11</v>
      </c>
      <c r="D5" s="1">
        <v>46114</v>
      </c>
      <c r="E5">
        <v>4800</v>
      </c>
      <c r="F5">
        <v>350</v>
      </c>
      <c r="G5">
        <v>45</v>
      </c>
      <c r="H5">
        <v>25</v>
      </c>
      <c r="I5">
        <f>(F5+G5+H5)/E5*100</f>
        <v>8.75</v>
      </c>
      <c r="J5">
        <f t="shared" si="0"/>
        <v>0.18229166666666666</v>
      </c>
    </row>
    <row r="6" spans="1:10" x14ac:dyDescent="0.3">
      <c r="A6">
        <v>5</v>
      </c>
      <c r="B6" t="s">
        <v>9</v>
      </c>
      <c r="C6" t="s">
        <v>11</v>
      </c>
      <c r="D6" s="1">
        <v>46115</v>
      </c>
      <c r="E6">
        <v>2900</v>
      </c>
      <c r="F6">
        <v>180</v>
      </c>
      <c r="G6">
        <v>20</v>
      </c>
      <c r="H6">
        <v>10</v>
      </c>
      <c r="I6">
        <f>(F6+G6+H6)/E6*100</f>
        <v>7.2413793103448283</v>
      </c>
      <c r="J6">
        <f t="shared" si="0"/>
        <v>0.24970273483947686</v>
      </c>
    </row>
    <row r="7" spans="1:10" x14ac:dyDescent="0.3">
      <c r="A7">
        <v>6</v>
      </c>
      <c r="B7" t="s">
        <v>10</v>
      </c>
      <c r="C7" t="s">
        <v>12</v>
      </c>
      <c r="D7" s="1">
        <v>46115</v>
      </c>
      <c r="E7">
        <v>3600</v>
      </c>
      <c r="F7">
        <v>250</v>
      </c>
      <c r="G7">
        <v>30</v>
      </c>
      <c r="H7">
        <v>18</v>
      </c>
      <c r="I7">
        <f>(F7+G7+H7)/E7*100</f>
        <v>8.2777777777777786</v>
      </c>
      <c r="J7">
        <f t="shared" si="0"/>
        <v>0.22993827160493829</v>
      </c>
    </row>
    <row r="8" spans="1:10" x14ac:dyDescent="0.3">
      <c r="A8">
        <v>7</v>
      </c>
      <c r="B8" t="s">
        <v>7</v>
      </c>
      <c r="C8" t="s">
        <v>12</v>
      </c>
      <c r="D8" s="1">
        <v>46116</v>
      </c>
      <c r="E8">
        <v>5500</v>
      </c>
      <c r="F8">
        <v>460</v>
      </c>
      <c r="G8">
        <v>60</v>
      </c>
      <c r="H8">
        <v>40</v>
      </c>
      <c r="I8">
        <f>(F8+G8+H8)/E8*100</f>
        <v>10.181818181818182</v>
      </c>
      <c r="J8">
        <f t="shared" si="0"/>
        <v>0.18512396694214875</v>
      </c>
    </row>
    <row r="9" spans="1:10" x14ac:dyDescent="0.3">
      <c r="A9">
        <v>8</v>
      </c>
      <c r="B9" t="s">
        <v>9</v>
      </c>
      <c r="C9" t="s">
        <v>12</v>
      </c>
      <c r="D9" s="1">
        <v>46116</v>
      </c>
      <c r="E9">
        <v>2700</v>
      </c>
      <c r="F9">
        <v>170</v>
      </c>
      <c r="G9">
        <v>18</v>
      </c>
      <c r="H9">
        <v>12</v>
      </c>
      <c r="I9">
        <f>(F9+G9+H9)/E9*100</f>
        <v>7.4074074074074066</v>
      </c>
      <c r="J9">
        <f t="shared" si="0"/>
        <v>0.2743484224965706</v>
      </c>
    </row>
    <row r="10" spans="1:10" x14ac:dyDescent="0.3">
      <c r="A10">
        <v>9</v>
      </c>
      <c r="B10" t="s">
        <v>10</v>
      </c>
      <c r="C10" t="s">
        <v>8</v>
      </c>
      <c r="D10" s="1">
        <v>46117</v>
      </c>
      <c r="E10">
        <v>4100</v>
      </c>
      <c r="F10">
        <v>310</v>
      </c>
      <c r="G10">
        <v>42</v>
      </c>
      <c r="H10">
        <v>22</v>
      </c>
      <c r="I10">
        <f>(F10+G10+H10)/E10*100</f>
        <v>9.1219512195121943</v>
      </c>
      <c r="J10">
        <f t="shared" si="0"/>
        <v>0.22248661511005352</v>
      </c>
    </row>
    <row r="11" spans="1:10" x14ac:dyDescent="0.3">
      <c r="A11">
        <v>10</v>
      </c>
      <c r="B11" t="s">
        <v>7</v>
      </c>
      <c r="C11" t="s">
        <v>8</v>
      </c>
      <c r="D11" s="1">
        <v>46117</v>
      </c>
      <c r="E11">
        <v>6000</v>
      </c>
      <c r="F11">
        <v>500</v>
      </c>
      <c r="G11">
        <v>70</v>
      </c>
      <c r="H11">
        <v>45</v>
      </c>
      <c r="I11">
        <f>(F11+G11+H11)/E11*100</f>
        <v>10.25</v>
      </c>
      <c r="J11">
        <f t="shared" si="0"/>
        <v>0.17083333333333334</v>
      </c>
    </row>
    <row r="12" spans="1:10" x14ac:dyDescent="0.3">
      <c r="A12">
        <v>11</v>
      </c>
      <c r="B12" t="s">
        <v>9</v>
      </c>
      <c r="C12" t="s">
        <v>11</v>
      </c>
      <c r="D12" s="1">
        <v>46118</v>
      </c>
      <c r="E12">
        <v>3200</v>
      </c>
      <c r="F12">
        <v>200</v>
      </c>
      <c r="G12">
        <v>22</v>
      </c>
      <c r="H12">
        <v>14</v>
      </c>
      <c r="I12">
        <f>(F12+G12+H12)/E12*100</f>
        <v>7.375</v>
      </c>
      <c r="J12">
        <f t="shared" si="0"/>
        <v>0.23046875</v>
      </c>
    </row>
    <row r="13" spans="1:10" x14ac:dyDescent="0.3">
      <c r="A13">
        <v>12</v>
      </c>
      <c r="B13" t="s">
        <v>10</v>
      </c>
      <c r="C13" t="s">
        <v>11</v>
      </c>
      <c r="D13" s="1">
        <v>46118</v>
      </c>
      <c r="E13">
        <v>3500</v>
      </c>
      <c r="F13">
        <v>260</v>
      </c>
      <c r="G13">
        <v>35</v>
      </c>
      <c r="H13">
        <v>20</v>
      </c>
      <c r="I13">
        <f>(F13+G13+H13)/E13*100</f>
        <v>9</v>
      </c>
      <c r="J13">
        <f t="shared" si="0"/>
        <v>0.25714285714285712</v>
      </c>
    </row>
    <row r="14" spans="1:10" x14ac:dyDescent="0.3">
      <c r="A14">
        <v>13</v>
      </c>
      <c r="B14" t="s">
        <v>7</v>
      </c>
      <c r="C14" t="s">
        <v>12</v>
      </c>
      <c r="D14" s="1">
        <v>46119</v>
      </c>
      <c r="E14">
        <v>5800</v>
      </c>
      <c r="F14">
        <v>480</v>
      </c>
      <c r="G14">
        <v>65</v>
      </c>
      <c r="H14">
        <v>42</v>
      </c>
      <c r="I14">
        <f>(F14+G14+H14)/E14*100</f>
        <v>10.120689655172415</v>
      </c>
      <c r="J14" t="s">
        <v>35</v>
      </c>
    </row>
    <row r="15" spans="1:10" x14ac:dyDescent="0.3">
      <c r="A15">
        <v>14</v>
      </c>
      <c r="B15" t="s">
        <v>9</v>
      </c>
      <c r="C15" t="s">
        <v>8</v>
      </c>
      <c r="D15" s="1">
        <v>46119</v>
      </c>
      <c r="E15">
        <v>3000</v>
      </c>
      <c r="F15">
        <v>190</v>
      </c>
      <c r="G15">
        <v>24</v>
      </c>
      <c r="H15">
        <v>13</v>
      </c>
      <c r="I15">
        <f>(F15+G15+H15)/E15*100</f>
        <v>7.5666666666666664</v>
      </c>
      <c r="J15">
        <f t="shared" si="0"/>
        <v>0.25222222222222224</v>
      </c>
    </row>
    <row r="16" spans="1:10" x14ac:dyDescent="0.3">
      <c r="A16">
        <v>15</v>
      </c>
      <c r="B16" t="s">
        <v>10</v>
      </c>
      <c r="C16" t="s">
        <v>12</v>
      </c>
      <c r="D16" s="1">
        <v>46120</v>
      </c>
      <c r="E16">
        <v>3900</v>
      </c>
      <c r="F16">
        <v>280</v>
      </c>
      <c r="G16">
        <v>38</v>
      </c>
      <c r="H16">
        <v>21</v>
      </c>
      <c r="I16">
        <f>(F16+G16+H16)/E16*100</f>
        <v>8.6923076923076916</v>
      </c>
      <c r="J16">
        <f t="shared" si="0"/>
        <v>0.22287968441814596</v>
      </c>
    </row>
    <row r="17" spans="1:10" x14ac:dyDescent="0.3">
      <c r="A17">
        <v>16</v>
      </c>
      <c r="B17" t="s">
        <v>7</v>
      </c>
      <c r="C17" t="s">
        <v>11</v>
      </c>
      <c r="D17" s="1">
        <v>46120</v>
      </c>
      <c r="E17">
        <v>5000</v>
      </c>
      <c r="F17">
        <v>370</v>
      </c>
      <c r="G17">
        <v>50</v>
      </c>
      <c r="H17">
        <v>28</v>
      </c>
      <c r="I17">
        <f>(F17+G17+H17)/E17*100</f>
        <v>8.9599999999999991</v>
      </c>
      <c r="J17">
        <f t="shared" si="0"/>
        <v>0.17919999999999997</v>
      </c>
    </row>
    <row r="18" spans="1:10" x14ac:dyDescent="0.3">
      <c r="A18">
        <v>17</v>
      </c>
      <c r="B18" t="s">
        <v>9</v>
      </c>
      <c r="C18" t="s">
        <v>12</v>
      </c>
      <c r="D18" s="1">
        <v>46121</v>
      </c>
      <c r="E18">
        <v>2600</v>
      </c>
      <c r="F18">
        <v>160</v>
      </c>
      <c r="G18">
        <v>17</v>
      </c>
      <c r="H18">
        <v>10</v>
      </c>
      <c r="I18">
        <f>(F18+G18+H18)/E18*100</f>
        <v>7.1923076923076925</v>
      </c>
      <c r="J18">
        <f t="shared" si="0"/>
        <v>0.27662721893491127</v>
      </c>
    </row>
    <row r="19" spans="1:10" x14ac:dyDescent="0.3">
      <c r="A19">
        <v>18</v>
      </c>
      <c r="B19" t="s">
        <v>10</v>
      </c>
      <c r="C19" t="s">
        <v>8</v>
      </c>
      <c r="D19" s="1">
        <v>46121</v>
      </c>
      <c r="E19">
        <v>4200</v>
      </c>
      <c r="F19">
        <v>320</v>
      </c>
      <c r="G19">
        <v>45</v>
      </c>
      <c r="H19">
        <v>23</v>
      </c>
      <c r="I19">
        <f>(F19+G19+H19)/E19*100</f>
        <v>9.238095238095239</v>
      </c>
      <c r="J19">
        <f t="shared" si="0"/>
        <v>0.21995464852607713</v>
      </c>
    </row>
    <row r="20" spans="1:10" x14ac:dyDescent="0.3">
      <c r="A20">
        <v>19</v>
      </c>
      <c r="B20" t="s">
        <v>7</v>
      </c>
      <c r="C20" t="s">
        <v>8</v>
      </c>
      <c r="D20" s="1">
        <v>46122</v>
      </c>
      <c r="E20">
        <v>6100</v>
      </c>
      <c r="F20">
        <v>520</v>
      </c>
      <c r="G20">
        <v>75</v>
      </c>
      <c r="H20">
        <v>48</v>
      </c>
      <c r="I20">
        <f>(F20+G20+H20)/E20*100</f>
        <v>10.540983606557377</v>
      </c>
      <c r="J20">
        <f t="shared" si="0"/>
        <v>0.17280300994356357</v>
      </c>
    </row>
    <row r="21" spans="1:10" x14ac:dyDescent="0.3">
      <c r="A21">
        <v>20</v>
      </c>
      <c r="B21" t="s">
        <v>9</v>
      </c>
      <c r="C21" t="s">
        <v>11</v>
      </c>
      <c r="D21" s="1">
        <v>46122</v>
      </c>
      <c r="E21">
        <v>2800</v>
      </c>
      <c r="F21">
        <v>175</v>
      </c>
      <c r="G21">
        <v>19</v>
      </c>
      <c r="H21">
        <v>11</v>
      </c>
      <c r="I21">
        <f>(F21+G21+H21)/E21*100</f>
        <v>7.3214285714285721</v>
      </c>
      <c r="J21">
        <f t="shared" si="0"/>
        <v>0.26147959183673469</v>
      </c>
    </row>
    <row r="22" spans="1:10" x14ac:dyDescent="0.3">
      <c r="A22">
        <v>21</v>
      </c>
      <c r="B22" t="s">
        <v>10</v>
      </c>
      <c r="C22" t="s">
        <v>12</v>
      </c>
      <c r="D22" s="1">
        <v>46123</v>
      </c>
      <c r="E22">
        <v>3700</v>
      </c>
      <c r="F22">
        <v>265</v>
      </c>
      <c r="G22">
        <v>33</v>
      </c>
      <c r="H22">
        <v>19</v>
      </c>
      <c r="I22">
        <f>(F22+G22+H22)/E22*100</f>
        <v>8.5675675675675667</v>
      </c>
      <c r="J22">
        <f t="shared" si="0"/>
        <v>0.23155588020452883</v>
      </c>
    </row>
    <row r="23" spans="1:10" x14ac:dyDescent="0.3">
      <c r="A23">
        <v>22</v>
      </c>
      <c r="B23" t="s">
        <v>7</v>
      </c>
      <c r="C23" t="s">
        <v>12</v>
      </c>
      <c r="D23" s="1">
        <v>46123</v>
      </c>
      <c r="E23">
        <v>5600</v>
      </c>
      <c r="F23">
        <v>470</v>
      </c>
      <c r="G23">
        <v>68</v>
      </c>
      <c r="H23">
        <v>43</v>
      </c>
      <c r="I23">
        <f>(F23+G23+H23)/E23*100</f>
        <v>10.375</v>
      </c>
      <c r="J23">
        <f t="shared" si="0"/>
        <v>0.18526785714285715</v>
      </c>
    </row>
    <row r="24" spans="1:10" x14ac:dyDescent="0.3">
      <c r="A24">
        <v>23</v>
      </c>
      <c r="B24" t="s">
        <v>9</v>
      </c>
      <c r="C24" t="s">
        <v>8</v>
      </c>
      <c r="D24" s="1">
        <v>46124</v>
      </c>
      <c r="E24">
        <v>3300</v>
      </c>
      <c r="F24">
        <v>215</v>
      </c>
      <c r="G24">
        <v>28</v>
      </c>
      <c r="H24">
        <v>16</v>
      </c>
      <c r="I24">
        <f>(F24+G24+H24)/E24*100</f>
        <v>7.8484848484848495</v>
      </c>
      <c r="J24">
        <f t="shared" si="0"/>
        <v>0.23783287419651059</v>
      </c>
    </row>
    <row r="25" spans="1:10" x14ac:dyDescent="0.3">
      <c r="A25">
        <v>24</v>
      </c>
      <c r="B25" t="s">
        <v>10</v>
      </c>
      <c r="C25" t="s">
        <v>11</v>
      </c>
      <c r="D25" s="1">
        <v>46124</v>
      </c>
      <c r="E25">
        <v>3400</v>
      </c>
      <c r="F25">
        <v>255</v>
      </c>
      <c r="G25">
        <v>32</v>
      </c>
      <c r="H25">
        <v>18</v>
      </c>
      <c r="I25">
        <f>(F25+G25+H25)/E25*100</f>
        <v>8.9705882352941178</v>
      </c>
      <c r="J25">
        <f t="shared" si="0"/>
        <v>0.26384083044982698</v>
      </c>
    </row>
    <row r="26" spans="1:10" x14ac:dyDescent="0.3">
      <c r="A26">
        <v>25</v>
      </c>
      <c r="B26" t="s">
        <v>7</v>
      </c>
      <c r="C26" t="s">
        <v>11</v>
      </c>
      <c r="D26" s="1">
        <v>46125</v>
      </c>
      <c r="E26">
        <v>4900</v>
      </c>
      <c r="F26">
        <v>360</v>
      </c>
      <c r="G26">
        <v>48</v>
      </c>
      <c r="H26">
        <v>26</v>
      </c>
      <c r="I26">
        <f>(F26+G26+H26)/E26*100</f>
        <v>8.8571428571428559</v>
      </c>
      <c r="J26">
        <f t="shared" si="0"/>
        <v>0.18075801749271134</v>
      </c>
    </row>
    <row r="27" spans="1:10" x14ac:dyDescent="0.3">
      <c r="A27">
        <v>26</v>
      </c>
      <c r="B27" t="s">
        <v>9</v>
      </c>
      <c r="C27" t="s">
        <v>12</v>
      </c>
      <c r="D27" s="1">
        <v>46125</v>
      </c>
      <c r="E27">
        <v>2500</v>
      </c>
      <c r="F27">
        <v>150</v>
      </c>
      <c r="G27">
        <v>16</v>
      </c>
      <c r="H27">
        <v>9</v>
      </c>
      <c r="I27">
        <f>(F27+G27+H27)/E27*100</f>
        <v>7.0000000000000009</v>
      </c>
      <c r="J27">
        <f t="shared" si="0"/>
        <v>0.28000000000000003</v>
      </c>
    </row>
    <row r="28" spans="1:10" x14ac:dyDescent="0.3">
      <c r="A28">
        <v>27</v>
      </c>
      <c r="B28" t="s">
        <v>10</v>
      </c>
      <c r="C28" t="s">
        <v>8</v>
      </c>
      <c r="D28" s="1">
        <v>46126</v>
      </c>
      <c r="E28">
        <v>4300</v>
      </c>
      <c r="F28">
        <v>330</v>
      </c>
      <c r="G28">
        <v>46</v>
      </c>
      <c r="H28">
        <v>24</v>
      </c>
      <c r="I28">
        <f>(F28+G28+H28)/E28*100</f>
        <v>9.3023255813953494</v>
      </c>
      <c r="J28">
        <f t="shared" si="0"/>
        <v>0.2163331530557058</v>
      </c>
    </row>
    <row r="29" spans="1:10" x14ac:dyDescent="0.3">
      <c r="A29">
        <v>28</v>
      </c>
      <c r="B29" t="s">
        <v>7</v>
      </c>
      <c r="C29" t="s">
        <v>8</v>
      </c>
      <c r="D29" s="1">
        <v>46126</v>
      </c>
      <c r="E29">
        <v>6200</v>
      </c>
      <c r="F29">
        <v>530</v>
      </c>
      <c r="G29">
        <v>80</v>
      </c>
      <c r="H29">
        <v>50</v>
      </c>
      <c r="I29">
        <f>(F29+G29+H29)/E29*100</f>
        <v>10.64516129032258</v>
      </c>
      <c r="J29">
        <f t="shared" si="0"/>
        <v>0.17169614984391257</v>
      </c>
    </row>
    <row r="30" spans="1:10" x14ac:dyDescent="0.3">
      <c r="A30">
        <v>29</v>
      </c>
      <c r="B30" t="s">
        <v>9</v>
      </c>
      <c r="C30" t="s">
        <v>11</v>
      </c>
      <c r="D30" s="1">
        <v>46127</v>
      </c>
      <c r="E30">
        <v>3100</v>
      </c>
      <c r="F30">
        <v>195</v>
      </c>
      <c r="G30">
        <v>23</v>
      </c>
      <c r="H30">
        <v>14</v>
      </c>
      <c r="I30">
        <f>(F30+G30+H30)/E30*100</f>
        <v>7.4838709677419359</v>
      </c>
      <c r="J30">
        <f t="shared" si="0"/>
        <v>0.24141519250780438</v>
      </c>
    </row>
    <row r="31" spans="1:10" x14ac:dyDescent="0.3">
      <c r="A31">
        <v>30</v>
      </c>
      <c r="B31" t="s">
        <v>10</v>
      </c>
      <c r="C31" t="s">
        <v>12</v>
      </c>
      <c r="D31" s="1">
        <v>46127</v>
      </c>
      <c r="E31">
        <v>3800</v>
      </c>
      <c r="F31">
        <v>275</v>
      </c>
      <c r="G31">
        <v>36</v>
      </c>
      <c r="H31">
        <v>20</v>
      </c>
      <c r="I31">
        <f>(F31+G31+H31)/E31*100</f>
        <v>8.7105263157894743</v>
      </c>
      <c r="J31">
        <f t="shared" si="0"/>
        <v>0.22922437673130197</v>
      </c>
    </row>
    <row r="32" spans="1:10" x14ac:dyDescent="0.3">
      <c r="A32">
        <v>31</v>
      </c>
      <c r="B32" t="s">
        <v>7</v>
      </c>
      <c r="C32" t="s">
        <v>12</v>
      </c>
      <c r="D32" s="1">
        <v>46128</v>
      </c>
      <c r="E32">
        <v>5700</v>
      </c>
      <c r="F32">
        <v>490</v>
      </c>
      <c r="G32">
        <v>70</v>
      </c>
      <c r="H32">
        <v>44</v>
      </c>
      <c r="I32">
        <f>(F32+G32+H32)/E32*100</f>
        <v>10.596491228070175</v>
      </c>
      <c r="J32">
        <f t="shared" si="0"/>
        <v>0.1859033548784241</v>
      </c>
    </row>
    <row r="33" spans="1:10" x14ac:dyDescent="0.3">
      <c r="A33">
        <v>32</v>
      </c>
      <c r="B33" t="s">
        <v>9</v>
      </c>
      <c r="C33" t="s">
        <v>8</v>
      </c>
      <c r="D33" s="1">
        <v>46128</v>
      </c>
      <c r="E33">
        <v>3400</v>
      </c>
      <c r="F33">
        <v>220</v>
      </c>
      <c r="G33">
        <v>27</v>
      </c>
      <c r="H33">
        <v>17</v>
      </c>
      <c r="I33">
        <f>(F33+G33+H33)/E33*100</f>
        <v>7.764705882352942</v>
      </c>
      <c r="J33">
        <f t="shared" si="0"/>
        <v>0.22837370242214536</v>
      </c>
    </row>
    <row r="34" spans="1:10" x14ac:dyDescent="0.3">
      <c r="A34">
        <v>33</v>
      </c>
      <c r="B34" t="s">
        <v>10</v>
      </c>
      <c r="C34" t="s">
        <v>11</v>
      </c>
      <c r="D34" s="1">
        <v>46129</v>
      </c>
      <c r="E34">
        <v>3600</v>
      </c>
      <c r="F34">
        <v>270</v>
      </c>
      <c r="G34">
        <v>34</v>
      </c>
      <c r="H34">
        <v>21</v>
      </c>
      <c r="I34">
        <f>(F34+G34+H34)/E34*100</f>
        <v>9.0277777777777768</v>
      </c>
      <c r="J34">
        <f t="shared" si="0"/>
        <v>0.25077160493827161</v>
      </c>
    </row>
    <row r="35" spans="1:10" x14ac:dyDescent="0.3">
      <c r="A35">
        <v>34</v>
      </c>
      <c r="B35" t="s">
        <v>7</v>
      </c>
      <c r="C35" t="s">
        <v>11</v>
      </c>
      <c r="D35" s="1">
        <v>46129</v>
      </c>
      <c r="E35">
        <v>5100</v>
      </c>
      <c r="F35">
        <v>380</v>
      </c>
      <c r="G35">
        <v>52</v>
      </c>
      <c r="H35">
        <v>29</v>
      </c>
      <c r="I35">
        <f>(F35+G35+H35)/E35*100</f>
        <v>9.0392156862745097</v>
      </c>
      <c r="J35">
        <f t="shared" si="0"/>
        <v>0.1772395232602845</v>
      </c>
    </row>
    <row r="36" spans="1:10" x14ac:dyDescent="0.3">
      <c r="A36">
        <v>35</v>
      </c>
      <c r="B36" t="s">
        <v>9</v>
      </c>
      <c r="C36" t="s">
        <v>12</v>
      </c>
      <c r="D36" s="1">
        <v>46130</v>
      </c>
      <c r="E36">
        <v>2600</v>
      </c>
      <c r="F36">
        <v>155</v>
      </c>
      <c r="G36">
        <v>18</v>
      </c>
      <c r="H36">
        <v>11</v>
      </c>
      <c r="I36">
        <f>(F36+G36+H36)/E36*100</f>
        <v>7.0769230769230766</v>
      </c>
      <c r="J36">
        <f t="shared" si="0"/>
        <v>0.27218934911242604</v>
      </c>
    </row>
    <row r="37" spans="1:10" x14ac:dyDescent="0.3">
      <c r="A37">
        <v>36</v>
      </c>
      <c r="B37" t="s">
        <v>10</v>
      </c>
      <c r="C37" t="s">
        <v>8</v>
      </c>
      <c r="D37" s="1">
        <v>46130</v>
      </c>
      <c r="E37">
        <v>4400</v>
      </c>
      <c r="F37">
        <v>340</v>
      </c>
      <c r="G37">
        <v>47</v>
      </c>
      <c r="H37">
        <v>25</v>
      </c>
      <c r="I37">
        <f>(F37+G37+H37)/E37*100</f>
        <v>9.3636363636363651</v>
      </c>
      <c r="J37">
        <f t="shared" si="0"/>
        <v>0.21280991735537191</v>
      </c>
    </row>
    <row r="38" spans="1:10" x14ac:dyDescent="0.3">
      <c r="A38">
        <v>37</v>
      </c>
      <c r="B38" t="s">
        <v>7</v>
      </c>
      <c r="C38" t="s">
        <v>8</v>
      </c>
      <c r="D38" s="1">
        <v>46131</v>
      </c>
      <c r="E38">
        <v>6300</v>
      </c>
      <c r="F38">
        <v>540</v>
      </c>
      <c r="G38">
        <v>85</v>
      </c>
      <c r="H38">
        <v>52</v>
      </c>
      <c r="I38">
        <f>(F38+G38+H38)/E38*100</f>
        <v>10.746031746031747</v>
      </c>
      <c r="J38">
        <f t="shared" si="0"/>
        <v>0.17057193247669439</v>
      </c>
    </row>
    <row r="39" spans="1:10" x14ac:dyDescent="0.3">
      <c r="A39">
        <v>38</v>
      </c>
      <c r="B39" t="s">
        <v>9</v>
      </c>
      <c r="C39" t="s">
        <v>11</v>
      </c>
      <c r="D39" s="1">
        <v>46131</v>
      </c>
      <c r="E39">
        <v>3000</v>
      </c>
      <c r="F39">
        <v>185</v>
      </c>
      <c r="G39">
        <v>21</v>
      </c>
      <c r="H39">
        <v>13</v>
      </c>
      <c r="I39">
        <f>(F39+G39+H39)/E39*100</f>
        <v>7.3</v>
      </c>
      <c r="J39">
        <f t="shared" si="0"/>
        <v>0.24333333333333335</v>
      </c>
    </row>
    <row r="40" spans="1:10" x14ac:dyDescent="0.3">
      <c r="A40">
        <v>39</v>
      </c>
      <c r="B40" t="s">
        <v>10</v>
      </c>
      <c r="C40" t="s">
        <v>12</v>
      </c>
      <c r="D40" s="1">
        <v>46132</v>
      </c>
      <c r="E40">
        <v>3900</v>
      </c>
      <c r="F40">
        <v>285</v>
      </c>
      <c r="G40">
        <v>37</v>
      </c>
      <c r="H40">
        <v>22</v>
      </c>
      <c r="I40">
        <f>(F40+G40+H40)/E40*100</f>
        <v>8.8205128205128194</v>
      </c>
      <c r="J40">
        <f t="shared" si="0"/>
        <v>0.22616699539776461</v>
      </c>
    </row>
    <row r="41" spans="1:10" x14ac:dyDescent="0.3">
      <c r="A41">
        <v>40</v>
      </c>
      <c r="B41" t="s">
        <v>7</v>
      </c>
      <c r="C41" t="s">
        <v>12</v>
      </c>
      <c r="D41" s="1">
        <v>46132</v>
      </c>
      <c r="E41">
        <v>5800</v>
      </c>
      <c r="F41">
        <v>500</v>
      </c>
      <c r="G41">
        <v>72</v>
      </c>
      <c r="H41">
        <v>45</v>
      </c>
      <c r="I41">
        <f>(F41+G41+H41)/E41*100</f>
        <v>10.637931034482758</v>
      </c>
      <c r="J41">
        <f t="shared" si="0"/>
        <v>0.18341260404280615</v>
      </c>
    </row>
    <row r="42" spans="1:10" x14ac:dyDescent="0.3">
      <c r="A42">
        <v>41</v>
      </c>
      <c r="B42" t="s">
        <v>9</v>
      </c>
      <c r="C42" t="s">
        <v>8</v>
      </c>
      <c r="D42" s="1">
        <v>46133</v>
      </c>
      <c r="E42">
        <v>3500</v>
      </c>
      <c r="F42">
        <v>230</v>
      </c>
      <c r="G42">
        <v>29</v>
      </c>
      <c r="H42">
        <v>18</v>
      </c>
      <c r="I42">
        <f>(F42+G42+H42)/E42*100</f>
        <v>7.9142857142857137</v>
      </c>
      <c r="J42">
        <f t="shared" si="0"/>
        <v>0.22612244897959183</v>
      </c>
    </row>
    <row r="43" spans="1:10" x14ac:dyDescent="0.3">
      <c r="A43">
        <v>42</v>
      </c>
      <c r="B43" t="s">
        <v>10</v>
      </c>
      <c r="C43" t="s">
        <v>11</v>
      </c>
      <c r="D43" s="1">
        <v>46133</v>
      </c>
      <c r="E43">
        <v>3700</v>
      </c>
      <c r="F43">
        <v>280</v>
      </c>
      <c r="G43">
        <v>36</v>
      </c>
      <c r="H43">
        <v>20</v>
      </c>
      <c r="I43">
        <f>(F43+G43+H43)/E43*100</f>
        <v>9.0810810810810807</v>
      </c>
      <c r="J43">
        <f t="shared" si="0"/>
        <v>0.24543462381300218</v>
      </c>
    </row>
    <row r="44" spans="1:10" x14ac:dyDescent="0.3">
      <c r="A44">
        <v>43</v>
      </c>
      <c r="B44" t="s">
        <v>7</v>
      </c>
      <c r="C44" t="s">
        <v>11</v>
      </c>
      <c r="D44" s="1">
        <v>46134</v>
      </c>
      <c r="E44">
        <v>5200</v>
      </c>
      <c r="F44">
        <v>390</v>
      </c>
      <c r="G44">
        <v>55</v>
      </c>
      <c r="H44">
        <v>30</v>
      </c>
      <c r="I44">
        <f>(F44+G44+H44)/E44*100</f>
        <v>9.1346153846153832</v>
      </c>
      <c r="J44">
        <f t="shared" si="0"/>
        <v>0.17566568047337275</v>
      </c>
    </row>
    <row r="45" spans="1:10" x14ac:dyDescent="0.3">
      <c r="A45">
        <v>44</v>
      </c>
      <c r="B45" t="s">
        <v>9</v>
      </c>
      <c r="C45" t="s">
        <v>12</v>
      </c>
      <c r="D45" s="1">
        <v>46134</v>
      </c>
      <c r="E45">
        <v>2700</v>
      </c>
      <c r="F45">
        <v>165</v>
      </c>
      <c r="G45">
        <v>19</v>
      </c>
      <c r="H45">
        <v>12</v>
      </c>
      <c r="I45">
        <f>(F45+G45+H45)/E45*100</f>
        <v>7.2592592592592595</v>
      </c>
      <c r="J45">
        <f t="shared" si="0"/>
        <v>0.26886145404663925</v>
      </c>
    </row>
    <row r="46" spans="1:10" x14ac:dyDescent="0.3">
      <c r="A46">
        <v>45</v>
      </c>
      <c r="B46" t="s">
        <v>10</v>
      </c>
      <c r="C46" t="s">
        <v>8</v>
      </c>
      <c r="D46" s="1">
        <v>46135</v>
      </c>
      <c r="E46">
        <v>4500</v>
      </c>
      <c r="F46">
        <v>350</v>
      </c>
      <c r="G46">
        <v>48</v>
      </c>
      <c r="H46">
        <v>26</v>
      </c>
      <c r="I46">
        <f>(F46+G46+H46)/E46*100</f>
        <v>9.4222222222222225</v>
      </c>
      <c r="J46">
        <f t="shared" si="0"/>
        <v>0.20938271604938274</v>
      </c>
    </row>
    <row r="47" spans="1:10" x14ac:dyDescent="0.3">
      <c r="A47">
        <v>46</v>
      </c>
      <c r="B47" t="s">
        <v>7</v>
      </c>
      <c r="C47" t="s">
        <v>8</v>
      </c>
      <c r="D47" s="1">
        <v>46135</v>
      </c>
      <c r="E47">
        <v>6400</v>
      </c>
      <c r="F47">
        <v>550</v>
      </c>
      <c r="G47">
        <v>90</v>
      </c>
      <c r="H47">
        <v>55</v>
      </c>
      <c r="I47">
        <f>(F47+G47+H47)/E47*100</f>
        <v>10.859375</v>
      </c>
      <c r="J47">
        <f t="shared" si="0"/>
        <v>0.169677734375</v>
      </c>
    </row>
    <row r="48" spans="1:10" x14ac:dyDescent="0.3">
      <c r="A48">
        <v>47</v>
      </c>
      <c r="B48" t="s">
        <v>9</v>
      </c>
      <c r="C48" t="s">
        <v>11</v>
      </c>
      <c r="D48" s="1">
        <v>46136</v>
      </c>
      <c r="E48">
        <v>3200</v>
      </c>
      <c r="F48">
        <v>200</v>
      </c>
      <c r="G48">
        <v>24</v>
      </c>
      <c r="H48">
        <v>15</v>
      </c>
      <c r="I48">
        <f>(F48+G48+H48)/E48*100</f>
        <v>7.46875</v>
      </c>
      <c r="J48">
        <f t="shared" si="0"/>
        <v>0.2333984375</v>
      </c>
    </row>
    <row r="49" spans="1:10" x14ac:dyDescent="0.3">
      <c r="A49">
        <v>48</v>
      </c>
      <c r="B49" t="s">
        <v>10</v>
      </c>
      <c r="C49" t="s">
        <v>12</v>
      </c>
      <c r="D49" s="1">
        <v>46136</v>
      </c>
      <c r="E49">
        <v>4000</v>
      </c>
      <c r="F49">
        <v>290</v>
      </c>
      <c r="G49">
        <v>38</v>
      </c>
      <c r="H49">
        <v>23</v>
      </c>
      <c r="I49">
        <f>(F49+G49+H49)/E49*100</f>
        <v>8.7749999999999986</v>
      </c>
      <c r="J49">
        <f t="shared" si="0"/>
        <v>0.21937499999999996</v>
      </c>
    </row>
    <row r="50" spans="1:10" x14ac:dyDescent="0.3">
      <c r="A50">
        <v>49</v>
      </c>
      <c r="B50" t="s">
        <v>7</v>
      </c>
      <c r="C50" t="s">
        <v>12</v>
      </c>
      <c r="D50" s="1">
        <v>46137</v>
      </c>
      <c r="E50">
        <v>5900</v>
      </c>
      <c r="F50">
        <v>510</v>
      </c>
      <c r="G50">
        <v>75</v>
      </c>
      <c r="H50">
        <v>48</v>
      </c>
      <c r="I50">
        <f>(F50+G50+H50)/E50*100</f>
        <v>10.728813559322035</v>
      </c>
      <c r="J50">
        <f t="shared" si="0"/>
        <v>0.1818442976156277</v>
      </c>
    </row>
    <row r="51" spans="1:10" x14ac:dyDescent="0.3">
      <c r="A51">
        <v>50</v>
      </c>
      <c r="B51" t="s">
        <v>9</v>
      </c>
      <c r="C51" t="s">
        <v>8</v>
      </c>
      <c r="D51" s="1">
        <v>46137</v>
      </c>
      <c r="E51">
        <v>3600</v>
      </c>
      <c r="F51">
        <v>240</v>
      </c>
      <c r="G51">
        <v>30</v>
      </c>
      <c r="H51">
        <v>19</v>
      </c>
      <c r="I51">
        <f>(F51+G51+H51)/E51*100</f>
        <v>8.0277777777777786</v>
      </c>
      <c r="J51">
        <f t="shared" si="0"/>
        <v>0.22299382716049385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Engagement Analysis</vt:lpstr>
      <vt:lpstr>CTR Analysis</vt:lpstr>
      <vt:lpstr>Platform Analysis</vt:lpstr>
      <vt:lpstr>Insights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917496875769</dc:creator>
  <cp:lastModifiedBy>917496875769</cp:lastModifiedBy>
  <dcterms:created xsi:type="dcterms:W3CDTF">2026-04-13T14:09:31Z</dcterms:created>
  <dcterms:modified xsi:type="dcterms:W3CDTF">2026-04-16T14:39:38Z</dcterms:modified>
</cp:coreProperties>
</file>